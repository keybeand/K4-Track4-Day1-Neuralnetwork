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19" t="inlineStr">
        <is>
          <t>base-s1</t>
        </is>
      </c>
      <c r="B2" s="19" t="inlineStr">
        <is>
          <t>baseline</t>
        </is>
      </c>
      <c r="C2" s="19" t="inlineStr">
        <is>
          <t>Baseline M-base (Seed 1)</t>
        </is>
      </c>
      <c r="D2" s="19" t="inlineStr">
        <is>
          <t>ce</t>
        </is>
      </c>
      <c r="E2" s="19" t="inlineStr">
        <is>
          <t>sgd_momentum</t>
        </is>
      </c>
      <c r="F2" s="19" t="n">
        <v>0.05</v>
      </c>
      <c r="G2" s="19" t="n">
        <v>0</v>
      </c>
      <c r="H2" s="19" t="n">
        <v>512</v>
      </c>
      <c r="I2" s="19" t="n">
        <v>20</v>
      </c>
      <c r="J2" s="19" t="inlineStr">
        <is>
          <t>[256, 128]</t>
        </is>
      </c>
      <c r="K2" s="19" t="n">
        <v>0</v>
      </c>
      <c r="L2" s="19" t="inlineStr">
        <is>
          <t>None</t>
        </is>
      </c>
      <c r="M2" s="19" t="inlineStr">
        <is>
          <t>fp32</t>
        </is>
      </c>
      <c r="N2" s="19" t="inlineStr">
        <is>
          <t>he</t>
        </is>
      </c>
      <c r="O2" s="19" t="n">
        <v>1</v>
      </c>
      <c r="P2" s="19" t="n">
        <v>2.269082259332679</v>
      </c>
      <c r="Q2" s="19" t="n">
        <v>0.2473405522986868</v>
      </c>
      <c r="R2" s="19" t="n">
        <v>20</v>
      </c>
      <c r="S2" s="19" t="n">
        <v>0.2246122071027756</v>
      </c>
      <c r="T2" s="19" t="n">
        <v>0.2473405522986868</v>
      </c>
      <c r="U2" s="19" t="n">
        <v>0.9004647060089068</v>
      </c>
      <c r="V2" s="19" t="n">
        <v>0.8420840079958675</v>
      </c>
      <c r="W2" s="19" t="n">
        <v>2.152932286262512</v>
      </c>
      <c r="X2" s="19" t="n">
        <v>0</v>
      </c>
      <c r="Y2" s="19" t="b">
        <v>0</v>
      </c>
      <c r="Z2" s="19" t="n">
        <v>0.89913341</v>
      </c>
      <c r="AA2" s="19" t="n">
        <v>0.84021154</v>
      </c>
      <c r="AB2" s="19" t="inlineStr">
        <is>
          <t>figures/base-s1.png</t>
        </is>
      </c>
      <c r="AC2" s="19" t="inlineStr">
        <is>
          <t>Baseline seed 1</t>
        </is>
      </c>
    </row>
    <row r="3" ht="15" customHeight="1" s="20">
      <c r="A3" s="19" t="inlineStr">
        <is>
          <t>base-s2</t>
        </is>
      </c>
      <c r="B3" s="19" t="inlineStr">
        <is>
          <t>baseline</t>
        </is>
      </c>
      <c r="C3" s="19" t="inlineStr">
        <is>
          <t>Baseline M-base (Seed 2)</t>
        </is>
      </c>
      <c r="D3" s="19" t="inlineStr">
        <is>
          <t>ce</t>
        </is>
      </c>
      <c r="E3" s="19" t="inlineStr">
        <is>
          <t>sgd_momentum</t>
        </is>
      </c>
      <c r="F3" s="19" t="n">
        <v>0.05</v>
      </c>
      <c r="G3" s="19" t="n">
        <v>0</v>
      </c>
      <c r="H3" s="19" t="n">
        <v>512</v>
      </c>
      <c r="I3" s="19" t="n">
        <v>20</v>
      </c>
      <c r="J3" s="19" t="inlineStr">
        <is>
          <t>[256, 128]</t>
        </is>
      </c>
      <c r="K3" s="19" t="n">
        <v>0</v>
      </c>
      <c r="L3" s="19" t="inlineStr">
        <is>
          <t>None</t>
        </is>
      </c>
      <c r="M3" s="19" t="inlineStr">
        <is>
          <t>fp32</t>
        </is>
      </c>
      <c r="N3" s="19" t="inlineStr">
        <is>
          <t>he</t>
        </is>
      </c>
      <c r="O3" s="19" t="n">
        <v>2</v>
      </c>
      <c r="P3" s="19" t="n">
        <v>1.978168605439868</v>
      </c>
      <c r="Q3" s="19" t="n">
        <v>0.2566365431529751</v>
      </c>
      <c r="R3" s="19" t="n">
        <v>20</v>
      </c>
      <c r="S3" s="19" t="n">
        <v>0.2367490953826904</v>
      </c>
      <c r="T3" s="19" t="n">
        <v>0.2566365431529751</v>
      </c>
      <c r="U3" s="19" t="n">
        <v>0.8971945526128956</v>
      </c>
      <c r="V3" s="19" t="n">
        <v>0.8350163512955319</v>
      </c>
      <c r="W3" s="19" t="n">
        <v>1.975706362724304</v>
      </c>
      <c r="X3" s="19" t="n">
        <v>0</v>
      </c>
      <c r="Y3" s="19" t="b">
        <v>0</v>
      </c>
      <c r="AB3" s="19" t="inlineStr">
        <is>
          <t>figures/base-s2.png</t>
        </is>
      </c>
      <c r="AC3" s="19" t="inlineStr"/>
    </row>
    <row r="4" ht="15" customHeight="1" s="20">
      <c r="A4" s="19" t="inlineStr">
        <is>
          <t>clip-1.0</t>
        </is>
      </c>
      <c r="B4" s="19" t="inlineStr">
        <is>
          <t>clipping</t>
        </is>
      </c>
      <c r="C4" s="19" t="inlineStr">
        <is>
          <t>Gradient Clipping c=1.0</t>
        </is>
      </c>
      <c r="D4" s="19" t="inlineStr">
        <is>
          <t>ce</t>
        </is>
      </c>
      <c r="E4" s="19" t="inlineStr">
        <is>
          <t>sgd_momentum</t>
        </is>
      </c>
      <c r="F4" s="19" t="n">
        <v>0.05</v>
      </c>
      <c r="G4" s="19" t="n">
        <v>0</v>
      </c>
      <c r="H4" s="19" t="n">
        <v>512</v>
      </c>
      <c r="I4" s="19" t="n">
        <v>20</v>
      </c>
      <c r="J4" s="19" t="inlineStr">
        <is>
          <t>[256, 128]</t>
        </is>
      </c>
      <c r="K4" s="19" t="n">
        <v>0</v>
      </c>
      <c r="L4" s="19" t="n">
        <v>1</v>
      </c>
      <c r="M4" s="19" t="inlineStr">
        <is>
          <t>fp32</t>
        </is>
      </c>
      <c r="N4" s="19" t="inlineStr">
        <is>
          <t>he</t>
        </is>
      </c>
      <c r="O4" s="19" t="n">
        <v>1</v>
      </c>
      <c r="P4" s="19" t="n">
        <v>2.269082259332679</v>
      </c>
      <c r="Q4" s="19" t="n">
        <v>0.258069918556967</v>
      </c>
      <c r="R4" s="19" t="n">
        <v>17</v>
      </c>
      <c r="S4" s="19" t="n">
        <v>0.2359638947105408</v>
      </c>
      <c r="T4" s="19" t="n">
        <v>0.2595129401842664</v>
      </c>
      <c r="U4" s="19" t="n">
        <v>0.8955702329984294</v>
      </c>
      <c r="V4" s="19" t="n">
        <v>0.8371057163779725</v>
      </c>
      <c r="W4" s="19" t="n">
        <v>1.75491132736206</v>
      </c>
      <c r="X4" s="19" t="n">
        <v>0</v>
      </c>
      <c r="Y4" s="19" t="b">
        <v>0</v>
      </c>
      <c r="AB4" s="19" t="inlineStr">
        <is>
          <t>figures/clip-1.0.png</t>
        </is>
      </c>
      <c r="AC4" s="19" t="inlineStr"/>
    </row>
    <row r="5" ht="15" customHeight="1" s="20">
      <c r="A5" s="19" t="inlineStr">
        <is>
          <t>drop-0.1</t>
        </is>
      </c>
      <c r="B5" s="19" t="inlineStr">
        <is>
          <t>dropout</t>
        </is>
      </c>
      <c r="C5" s="19" t="inlineStr">
        <is>
          <t>Dropout q=0.1</t>
        </is>
      </c>
      <c r="D5" s="19" t="inlineStr">
        <is>
          <t>ce</t>
        </is>
      </c>
      <c r="E5" s="19" t="inlineStr">
        <is>
          <t>sgd_momentum</t>
        </is>
      </c>
      <c r="F5" s="19" t="n">
        <v>0.05</v>
      </c>
      <c r="G5" s="19" t="n">
        <v>0</v>
      </c>
      <c r="H5" s="19" t="n">
        <v>512</v>
      </c>
      <c r="I5" s="19" t="n">
        <v>20</v>
      </c>
      <c r="J5" s="19" t="inlineStr">
        <is>
          <t>[256, 128]</t>
        </is>
      </c>
      <c r="K5" s="19" t="n">
        <v>0.1</v>
      </c>
      <c r="L5" s="19" t="inlineStr">
        <is>
          <t>None</t>
        </is>
      </c>
      <c r="M5" s="19" t="inlineStr">
        <is>
          <t>fp32</t>
        </is>
      </c>
      <c r="N5" s="19" t="inlineStr">
        <is>
          <t>he</t>
        </is>
      </c>
      <c r="O5" s="19" t="n">
        <v>1</v>
      </c>
      <c r="P5" s="19" t="n">
        <v>2.269082259332679</v>
      </c>
      <c r="Q5" s="19" t="n">
        <v>0.2690233695608611</v>
      </c>
      <c r="R5" s="19" t="n">
        <v>20</v>
      </c>
      <c r="S5" s="19" t="n">
        <v>0.2606228719425202</v>
      </c>
      <c r="T5" s="19" t="n">
        <v>0.2690233695608611</v>
      </c>
      <c r="U5" s="19" t="n">
        <v>0.8929670187818679</v>
      </c>
      <c r="V5" s="19" t="n">
        <v>0.8220018270517476</v>
      </c>
      <c r="W5" s="19" t="n">
        <v>4.201172614097596</v>
      </c>
      <c r="X5" s="19" t="n">
        <v>0</v>
      </c>
      <c r="Y5" s="19" t="b">
        <v>0</v>
      </c>
      <c r="AB5" s="19" t="inlineStr">
        <is>
          <t>figures/drop-0.1.png</t>
        </is>
      </c>
      <c r="AC5" s="19" t="inlineStr"/>
    </row>
    <row r="6" ht="15" customHeight="1" s="20">
      <c r="A6" s="19" t="inlineStr">
        <is>
          <t>drop-0.3</t>
        </is>
      </c>
      <c r="B6" s="19" t="inlineStr">
        <is>
          <t>dropout</t>
        </is>
      </c>
      <c r="C6" s="19" t="inlineStr">
        <is>
          <t>Dropout q=0.3</t>
        </is>
      </c>
      <c r="D6" s="19" t="inlineStr">
        <is>
          <t>ce</t>
        </is>
      </c>
      <c r="E6" s="19" t="inlineStr">
        <is>
          <t>sgd_momentum</t>
        </is>
      </c>
      <c r="F6" s="19" t="n">
        <v>0.05</v>
      </c>
      <c r="G6" s="19" t="n">
        <v>0</v>
      </c>
      <c r="H6" s="19" t="n">
        <v>512</v>
      </c>
      <c r="I6" s="19" t="n">
        <v>20</v>
      </c>
      <c r="J6" s="19" t="inlineStr">
        <is>
          <t>[256, 128]</t>
        </is>
      </c>
      <c r="K6" s="19" t="n">
        <v>0.3</v>
      </c>
      <c r="L6" s="19" t="inlineStr">
        <is>
          <t>None</t>
        </is>
      </c>
      <c r="M6" s="19" t="inlineStr">
        <is>
          <t>fp32</t>
        </is>
      </c>
      <c r="N6" s="19" t="inlineStr">
        <is>
          <t>he</t>
        </is>
      </c>
      <c r="O6" s="19" t="n">
        <v>1</v>
      </c>
      <c r="P6" s="19" t="n">
        <v>2.269082259332679</v>
      </c>
      <c r="Q6" s="19" t="n">
        <v>0.3402131783348263</v>
      </c>
      <c r="R6" s="19" t="n">
        <v>20</v>
      </c>
      <c r="S6" s="19" t="n">
        <v>0.3372650683403015</v>
      </c>
      <c r="T6" s="19" t="n">
        <v>0.3402131783348263</v>
      </c>
      <c r="U6" s="19" t="n">
        <v>0.8597814160624772</v>
      </c>
      <c r="V6" s="19" t="n">
        <v>0.7570287169845035</v>
      </c>
      <c r="W6" s="19" t="n">
        <v>4.37520272731781</v>
      </c>
      <c r="X6" s="19" t="n">
        <v>0</v>
      </c>
      <c r="Y6" s="19" t="b">
        <v>0</v>
      </c>
      <c r="AB6" s="19" t="inlineStr">
        <is>
          <t>figures/drop-0.3.png</t>
        </is>
      </c>
      <c r="AC6" s="19" t="inlineStr"/>
    </row>
    <row r="7" ht="15" customHeight="1" s="20">
      <c r="A7" s="19" t="inlineStr">
        <is>
          <t>final-best</t>
        </is>
      </c>
      <c r="B7" s="19" t="inlineStr">
        <is>
          <t>final</t>
        </is>
      </c>
      <c r="C7" s="19" t="inlineStr">
        <is>
          <t>Final Best Config (AdamW lr=1e-3, M-wide)</t>
        </is>
      </c>
      <c r="D7" s="19" t="inlineStr">
        <is>
          <t>ce</t>
        </is>
      </c>
      <c r="E7" s="19" t="inlineStr">
        <is>
          <t>adamw</t>
        </is>
      </c>
      <c r="F7" s="19" t="n">
        <v>0.001</v>
      </c>
      <c r="G7" s="19" t="n">
        <v>0.01</v>
      </c>
      <c r="H7" s="19" t="n">
        <v>512</v>
      </c>
      <c r="I7" s="19" t="n">
        <v>20</v>
      </c>
      <c r="J7" s="19" t="inlineStr">
        <is>
          <t>[512, 256]</t>
        </is>
      </c>
      <c r="K7" s="19" t="n">
        <v>0</v>
      </c>
      <c r="L7" s="19" t="inlineStr">
        <is>
          <t>None</t>
        </is>
      </c>
      <c r="M7" s="19" t="inlineStr">
        <is>
          <t>fp32</t>
        </is>
      </c>
      <c r="N7" s="19" t="inlineStr">
        <is>
          <t>he</t>
        </is>
      </c>
      <c r="O7" s="19" t="n">
        <v>1</v>
      </c>
      <c r="P7" s="19" t="n">
        <v>1.918253089353644</v>
      </c>
      <c r="Q7" s="19" t="n">
        <v>0.2015379212620526</v>
      </c>
      <c r="R7" s="19" t="n">
        <v>18</v>
      </c>
      <c r="S7" s="19" t="n">
        <v>0.1734607746124268</v>
      </c>
      <c r="T7" s="19" t="n">
        <v>0.2020761648584558</v>
      </c>
      <c r="U7" s="19" t="n">
        <v>0.920117897635593</v>
      </c>
      <c r="V7" s="19" t="n">
        <v>0.8737456018540536</v>
      </c>
      <c r="W7" s="19" t="n">
        <v>3.927542889118194</v>
      </c>
      <c r="X7" s="19" t="n">
        <v>0</v>
      </c>
      <c r="Y7" s="19" t="b">
        <v>0</v>
      </c>
      <c r="AB7" s="19" t="inlineStr">
        <is>
          <t>figures/final-best.png</t>
        </is>
      </c>
      <c r="AC7" s="19" t="inlineStr">
        <is>
          <t>Cấu hình cuối cùng đạt kết quả tốt nhất</t>
        </is>
      </c>
    </row>
    <row r="8" ht="15" customHeight="1" s="20">
      <c r="A8" s="19" t="inlineStr">
        <is>
          <t>hparam-b128</t>
        </is>
      </c>
      <c r="B8" s="19" t="inlineStr">
        <is>
          <t>hparam</t>
        </is>
      </c>
      <c r="C8" s="19" t="inlineStr">
        <is>
          <t>Batch size 128</t>
        </is>
      </c>
      <c r="D8" s="19" t="inlineStr">
        <is>
          <t>ce</t>
        </is>
      </c>
      <c r="E8" s="19" t="inlineStr">
        <is>
          <t>sgd_momentum</t>
        </is>
      </c>
      <c r="F8" s="19" t="n">
        <v>0.05</v>
      </c>
      <c r="G8" s="19" t="n">
        <v>0</v>
      </c>
      <c r="H8" s="19" t="n">
        <v>128</v>
      </c>
      <c r="I8" s="19" t="n">
        <v>20</v>
      </c>
      <c r="J8" s="19" t="inlineStr">
        <is>
          <t>[256, 128]</t>
        </is>
      </c>
      <c r="K8" s="19" t="n">
        <v>0</v>
      </c>
      <c r="L8" s="19" t="inlineStr">
        <is>
          <t>None</t>
        </is>
      </c>
      <c r="M8" s="19" t="inlineStr">
        <is>
          <t>fp32</t>
        </is>
      </c>
      <c r="N8" s="19" t="inlineStr">
        <is>
          <t>he</t>
        </is>
      </c>
      <c r="O8" s="19" t="n">
        <v>1</v>
      </c>
      <c r="P8" s="19" t="n">
        <v>2.269082259332679</v>
      </c>
      <c r="Q8" s="19" t="n">
        <v>0.2170232411249018</v>
      </c>
      <c r="R8" s="19" t="n">
        <v>20</v>
      </c>
      <c r="S8" s="19" t="n">
        <v>0.1886919180822372</v>
      </c>
      <c r="T8" s="19" t="n">
        <v>0.2170232411249018</v>
      </c>
      <c r="U8" s="19" t="n">
        <v>0.9143413437748757</v>
      </c>
      <c r="V8" s="19" t="n">
        <v>0.8588078905983573</v>
      </c>
      <c r="W8" s="19" t="n">
        <v>4.199841356277465</v>
      </c>
      <c r="X8" s="19" t="n">
        <v>0</v>
      </c>
      <c r="Y8" s="19" t="b">
        <v>0</v>
      </c>
      <c r="AB8" s="19" t="inlineStr">
        <is>
          <t>figures/hparam-b128.png</t>
        </is>
      </c>
      <c r="AC8" s="19" t="inlineStr"/>
    </row>
    <row r="9" ht="15" customHeight="1" s="20">
      <c r="A9" s="19" t="inlineStr">
        <is>
          <t>hparam-mwide</t>
        </is>
      </c>
      <c r="B9" s="19" t="inlineStr">
        <is>
          <t>hparam</t>
        </is>
      </c>
      <c r="C9" s="19" t="inlineStr">
        <is>
          <t>M-wide architecture (512-&gt;256)</t>
        </is>
      </c>
      <c r="D9" s="19" t="inlineStr">
        <is>
          <t>ce</t>
        </is>
      </c>
      <c r="E9" s="19" t="inlineStr">
        <is>
          <t>sgd_momentum</t>
        </is>
      </c>
      <c r="F9" s="19" t="n">
        <v>0.05</v>
      </c>
      <c r="G9" s="19" t="n">
        <v>0</v>
      </c>
      <c r="H9" s="19" t="n">
        <v>512</v>
      </c>
      <c r="I9" s="19" t="n">
        <v>20</v>
      </c>
      <c r="J9" s="19" t="inlineStr">
        <is>
          <t>[512, 256]</t>
        </is>
      </c>
      <c r="K9" s="19" t="n">
        <v>0</v>
      </c>
      <c r="L9" s="19" t="inlineStr">
        <is>
          <t>None</t>
        </is>
      </c>
      <c r="M9" s="19" t="inlineStr">
        <is>
          <t>fp32</t>
        </is>
      </c>
      <c r="N9" s="19" t="inlineStr">
        <is>
          <t>he</t>
        </is>
      </c>
      <c r="O9" s="19" t="n">
        <v>1</v>
      </c>
      <c r="P9" s="19" t="n">
        <v>1.918253089353644</v>
      </c>
      <c r="Q9" s="19" t="n">
        <v>0.2292244649534061</v>
      </c>
      <c r="R9" s="19" t="n">
        <v>19</v>
      </c>
      <c r="S9" s="19" t="n">
        <v>0.2412704430532455</v>
      </c>
      <c r="T9" s="19" t="n">
        <v>0.2695012027870416</v>
      </c>
      <c r="U9" s="19" t="n">
        <v>0.9091994578429896</v>
      </c>
      <c r="V9" s="19" t="n">
        <v>0.8625900927375802</v>
      </c>
      <c r="W9" s="19" t="n">
        <v>3.656905388832092</v>
      </c>
      <c r="X9" s="19" t="n">
        <v>0</v>
      </c>
      <c r="Y9" s="19" t="b">
        <v>0</v>
      </c>
      <c r="AB9" s="19" t="inlineStr">
        <is>
          <t>figures/hparam-mwide.png</t>
        </is>
      </c>
      <c r="AC9" s="19" t="inlineStr"/>
    </row>
    <row r="10" ht="15" customHeight="1" s="20">
      <c r="A10" s="19" t="inlineStr">
        <is>
          <t>init-xavier</t>
        </is>
      </c>
      <c r="B10" s="19" t="inlineStr">
        <is>
          <t>init</t>
        </is>
      </c>
      <c r="C10" s="19" t="inlineStr">
        <is>
          <t>Xavier Normal init</t>
        </is>
      </c>
      <c r="D10" s="19" t="inlineStr">
        <is>
          <t>ce</t>
        </is>
      </c>
      <c r="E10" s="19" t="inlineStr">
        <is>
          <t>sgd_momentum</t>
        </is>
      </c>
      <c r="F10" s="19" t="n">
        <v>0.05</v>
      </c>
      <c r="G10" s="19" t="n">
        <v>0</v>
      </c>
      <c r="H10" s="19" t="n">
        <v>512</v>
      </c>
      <c r="I10" s="19" t="n">
        <v>20</v>
      </c>
      <c r="J10" s="19" t="inlineStr">
        <is>
          <t>[256, 128]</t>
        </is>
      </c>
      <c r="K10" s="19" t="n">
        <v>0</v>
      </c>
      <c r="L10" s="19" t="inlineStr">
        <is>
          <t>None</t>
        </is>
      </c>
      <c r="M10" s="19" t="inlineStr">
        <is>
          <t>fp32</t>
        </is>
      </c>
      <c r="N10" s="19" t="inlineStr">
        <is>
          <t>xavier</t>
        </is>
      </c>
      <c r="O10" s="19" t="n">
        <v>1</v>
      </c>
      <c r="P10" s="19" t="n">
        <v>2.022180127722064</v>
      </c>
      <c r="Q10" s="19" t="n">
        <v>0.2507449796199747</v>
      </c>
      <c r="R10" s="19" t="n">
        <v>20</v>
      </c>
      <c r="S10" s="19" t="n">
        <v>0.2301728762769699</v>
      </c>
      <c r="T10" s="19" t="n">
        <v>0.2507449796199747</v>
      </c>
      <c r="U10" s="19" t="n">
        <v>0.8989156859792173</v>
      </c>
      <c r="V10" s="19" t="n">
        <v>0.8401576859051201</v>
      </c>
      <c r="W10" s="19" t="n">
        <v>1.727047562599182</v>
      </c>
      <c r="X10" s="19" t="n">
        <v>0</v>
      </c>
      <c r="Y10" s="19" t="b">
        <v>0</v>
      </c>
      <c r="AB10" s="19" t="inlineStr">
        <is>
          <t>figures/init-xavier.png</t>
        </is>
      </c>
      <c r="AC10" s="19" t="inlineStr"/>
    </row>
    <row r="11" ht="15" customHeight="1" s="20">
      <c r="A11" s="19" t="inlineStr">
        <is>
          <t>init-zeros</t>
        </is>
      </c>
      <c r="B11" s="19" t="inlineStr">
        <is>
          <t>init</t>
        </is>
      </c>
      <c r="C11" s="19" t="inlineStr">
        <is>
          <t>Zeros init (Symmetry breaking failure)</t>
        </is>
      </c>
      <c r="D11" s="19" t="inlineStr">
        <is>
          <t>ce</t>
        </is>
      </c>
      <c r="E11" s="19" t="inlineStr">
        <is>
          <t>sgd_momentum</t>
        </is>
      </c>
      <c r="F11" s="19" t="n">
        <v>0.05</v>
      </c>
      <c r="G11" s="19" t="n">
        <v>0</v>
      </c>
      <c r="H11" s="19" t="n">
        <v>512</v>
      </c>
      <c r="I11" s="19" t="n">
        <v>20</v>
      </c>
      <c r="J11" s="19" t="inlineStr">
        <is>
          <t>[256, 128]</t>
        </is>
      </c>
      <c r="K11" s="19" t="n">
        <v>0</v>
      </c>
      <c r="L11" s="19" t="inlineStr">
        <is>
          <t>None</t>
        </is>
      </c>
      <c r="M11" s="19" t="inlineStr">
        <is>
          <t>fp32</t>
        </is>
      </c>
      <c r="N11" s="19" t="inlineStr">
        <is>
          <t>zeros</t>
        </is>
      </c>
      <c r="O11" s="19" t="n">
        <v>1</v>
      </c>
      <c r="P11" s="19" t="n">
        <v>1.94590961933136</v>
      </c>
      <c r="Q11" s="19" t="n">
        <v>1.20518038173399</v>
      </c>
      <c r="R11" s="19" t="n">
        <v>16</v>
      </c>
      <c r="S11" s="19" t="n">
        <v>1.202019729614258</v>
      </c>
      <c r="T11" s="19" t="n">
        <v>1.205405080239715</v>
      </c>
      <c r="U11" s="19" t="n">
        <v>0.4875970826789441</v>
      </c>
      <c r="V11" s="19" t="n">
        <v>0.09364999018625454</v>
      </c>
      <c r="W11" s="19" t="n">
        <v>1.803399753570557</v>
      </c>
      <c r="X11" s="19" t="n">
        <v>0</v>
      </c>
      <c r="Y11" s="19" t="b">
        <v>0</v>
      </c>
      <c r="AB11" s="19" t="inlineStr">
        <is>
          <t>figures/init-zeros.png</t>
        </is>
      </c>
      <c r="AC11" s="19" t="inlineStr"/>
    </row>
    <row r="12" ht="15" customHeight="1" s="20">
      <c r="A12" s="19" t="inlineStr">
        <is>
          <t>loss-mse</t>
        </is>
      </c>
      <c r="B12" s="19" t="inlineStr">
        <is>
          <t>loss</t>
        </is>
      </c>
      <c r="C12" s="19" t="inlineStr">
        <is>
          <t>MSE Loss vs CE</t>
        </is>
      </c>
      <c r="D12" s="19" t="inlineStr">
        <is>
          <t>mse</t>
        </is>
      </c>
      <c r="E12" s="19" t="inlineStr">
        <is>
          <t>sgd_momentum</t>
        </is>
      </c>
      <c r="F12" s="19" t="n">
        <v>0.05</v>
      </c>
      <c r="G12" s="19" t="n">
        <v>0</v>
      </c>
      <c r="H12" s="19" t="n">
        <v>512</v>
      </c>
      <c r="I12" s="19" t="n">
        <v>20</v>
      </c>
      <c r="J12" s="19" t="inlineStr">
        <is>
          <t>[256, 128]</t>
        </is>
      </c>
      <c r="K12" s="19" t="n">
        <v>0</v>
      </c>
      <c r="L12" s="19" t="inlineStr">
        <is>
          <t>None</t>
        </is>
      </c>
      <c r="M12" s="19" t="inlineStr">
        <is>
          <t>fp32</t>
        </is>
      </c>
      <c r="N12" s="19" t="inlineStr">
        <is>
          <t>he</t>
        </is>
      </c>
      <c r="O12" s="19" t="n">
        <v>1</v>
      </c>
      <c r="P12" s="19" t="n">
        <v>0.6358698182471128</v>
      </c>
      <c r="Q12" s="19" t="n">
        <v>0.03236300314134566</v>
      </c>
      <c r="R12" s="19" t="n">
        <v>20</v>
      </c>
      <c r="S12" s="19" t="n">
        <v>0.0316792010486126</v>
      </c>
      <c r="T12" s="19" t="n">
        <v>0.03236300314134566</v>
      </c>
      <c r="U12" s="19" t="n">
        <v>0.8553387405606592</v>
      </c>
      <c r="V12" s="19" t="n">
        <v>0.6844763610549832</v>
      </c>
      <c r="W12" s="19" t="n">
        <v>1.930051982402802</v>
      </c>
      <c r="X12" s="19" t="n">
        <v>0</v>
      </c>
      <c r="Y12" s="19" t="b">
        <v>0</v>
      </c>
      <c r="AB12" s="19" t="inlineStr">
        <is>
          <t>figures/loss-mse.png</t>
        </is>
      </c>
      <c r="AC12" s="19" t="inlineStr"/>
    </row>
    <row r="13" ht="15" customHeight="1" s="20">
      <c r="A13" s="19" t="inlineStr">
        <is>
          <t>opt-adam</t>
        </is>
      </c>
      <c r="B13" s="19" t="inlineStr">
        <is>
          <t>optimizer</t>
        </is>
      </c>
      <c r="C13" s="19" t="inlineStr">
        <is>
          <t>Adam optimizer lr=1e-3</t>
        </is>
      </c>
      <c r="D13" s="19" t="inlineStr">
        <is>
          <t>ce</t>
        </is>
      </c>
      <c r="E13" s="19" t="inlineStr">
        <is>
          <t>adam</t>
        </is>
      </c>
      <c r="F13" s="19" t="n">
        <v>0.001</v>
      </c>
      <c r="G13" s="19" t="n">
        <v>0</v>
      </c>
      <c r="H13" s="19" t="n">
        <v>512</v>
      </c>
      <c r="I13" s="19" t="n">
        <v>20</v>
      </c>
      <c r="J13" s="19" t="inlineStr">
        <is>
          <t>[256, 128]</t>
        </is>
      </c>
      <c r="K13" s="19" t="n">
        <v>0</v>
      </c>
      <c r="L13" s="19" t="inlineStr">
        <is>
          <t>None</t>
        </is>
      </c>
      <c r="M13" s="19" t="inlineStr">
        <is>
          <t>fp32</t>
        </is>
      </c>
      <c r="N13" s="19" t="inlineStr">
        <is>
          <t>he</t>
        </is>
      </c>
      <c r="O13" s="19" t="n">
        <v>1</v>
      </c>
      <c r="P13" s="19" t="n">
        <v>2.269082259332679</v>
      </c>
      <c r="Q13" s="19" t="n">
        <v>0.2413955906983541</v>
      </c>
      <c r="R13" s="19" t="n">
        <v>18</v>
      </c>
      <c r="S13" s="19" t="n">
        <v>0.2252693617677688</v>
      </c>
      <c r="T13" s="19" t="n">
        <v>0.2458293138786842</v>
      </c>
      <c r="U13" s="19" t="n">
        <v>0.9024009810460188</v>
      </c>
      <c r="V13" s="19" t="n">
        <v>0.8458640105282643</v>
      </c>
      <c r="W13" s="19" t="n">
        <v>2.160579919815063</v>
      </c>
      <c r="X13" s="19" t="n">
        <v>0</v>
      </c>
      <c r="Y13" s="19" t="b">
        <v>0</v>
      </c>
      <c r="AB13" s="19" t="inlineStr">
        <is>
          <t>figures/opt-adam.png</t>
        </is>
      </c>
      <c r="AC13" s="19" t="inlineStr"/>
    </row>
    <row r="14" ht="15" customHeight="1" s="20">
      <c r="A14" s="19" t="inlineStr">
        <is>
          <t>opt-adamw</t>
        </is>
      </c>
      <c r="B14" s="19" t="inlineStr">
        <is>
          <t>optimizer</t>
        </is>
      </c>
      <c r="C14" s="19" t="inlineStr">
        <is>
          <t>AdamW optimizer lr=1e-3 wd=0.01</t>
        </is>
      </c>
      <c r="D14" s="19" t="inlineStr">
        <is>
          <t>ce</t>
        </is>
      </c>
      <c r="E14" s="19" t="inlineStr">
        <is>
          <t>adamw</t>
        </is>
      </c>
      <c r="F14" s="19" t="n">
        <v>0.001</v>
      </c>
      <c r="G14" s="19" t="n">
        <v>0.01</v>
      </c>
      <c r="H14" s="19" t="n">
        <v>512</v>
      </c>
      <c r="I14" s="19" t="n">
        <v>20</v>
      </c>
      <c r="J14" s="19" t="inlineStr">
        <is>
          <t>[256, 128]</t>
        </is>
      </c>
      <c r="K14" s="19" t="n">
        <v>0</v>
      </c>
      <c r="L14" s="19" t="inlineStr">
        <is>
          <t>None</t>
        </is>
      </c>
      <c r="M14" s="19" t="inlineStr">
        <is>
          <t>fp32</t>
        </is>
      </c>
      <c r="N14" s="19" t="inlineStr">
        <is>
          <t>he</t>
        </is>
      </c>
      <c r="O14" s="19" t="n">
        <v>1</v>
      </c>
      <c r="P14" s="19" t="n">
        <v>2.269082259332679</v>
      </c>
      <c r="Q14" s="19" t="n">
        <v>0.2455582766990849</v>
      </c>
      <c r="R14" s="19" t="n">
        <v>18</v>
      </c>
      <c r="S14" s="19" t="n">
        <v>0.2274657642602921</v>
      </c>
      <c r="T14" s="19" t="n">
        <v>0.246678500276294</v>
      </c>
      <c r="U14" s="19" t="n">
        <v>0.9011316451883565</v>
      </c>
      <c r="V14" s="19" t="n">
        <v>0.8457545460442363</v>
      </c>
      <c r="W14" s="19" t="n">
        <v>2.338754892349243</v>
      </c>
      <c r="X14" s="19" t="n">
        <v>0</v>
      </c>
      <c r="Y14" s="19" t="b">
        <v>0</v>
      </c>
      <c r="AB14" s="19" t="inlineStr">
        <is>
          <t>figures/opt-adamw.png</t>
        </is>
      </c>
      <c r="AC14" s="19" t="inlineStr"/>
    </row>
    <row r="15" ht="15" customHeight="1" s="20">
      <c r="A15" s="19" t="inlineStr">
        <is>
          <t>opt-sgd</t>
        </is>
      </c>
      <c r="B15" s="19" t="inlineStr">
        <is>
          <t>optimizer</t>
        </is>
      </c>
      <c r="C15" s="19" t="inlineStr">
        <is>
          <t>Vanilla SGD (no momentum)</t>
        </is>
      </c>
      <c r="D15" s="19" t="inlineStr">
        <is>
          <t>ce</t>
        </is>
      </c>
      <c r="E15" s="19" t="inlineStr">
        <is>
          <t>sgd</t>
        </is>
      </c>
      <c r="F15" s="19" t="n">
        <v>0.05</v>
      </c>
      <c r="G15" s="19" t="n">
        <v>0</v>
      </c>
      <c r="H15" s="19" t="n">
        <v>512</v>
      </c>
      <c r="I15" s="19" t="n">
        <v>20</v>
      </c>
      <c r="J15" s="19" t="inlineStr">
        <is>
          <t>[256, 128]</t>
        </is>
      </c>
      <c r="K15" s="19" t="n">
        <v>0</v>
      </c>
      <c r="L15" s="19" t="inlineStr">
        <is>
          <t>None</t>
        </is>
      </c>
      <c r="M15" s="19" t="inlineStr">
        <is>
          <t>fp32</t>
        </is>
      </c>
      <c r="N15" s="19" t="inlineStr">
        <is>
          <t>he</t>
        </is>
      </c>
      <c r="O15" s="19" t="n">
        <v>1</v>
      </c>
      <c r="P15" s="19" t="n">
        <v>2.269082259332679</v>
      </c>
      <c r="Q15" s="19" t="n">
        <v>0.3899713717716004</v>
      </c>
      <c r="R15" s="19" t="n">
        <v>18</v>
      </c>
      <c r="S15" s="19" t="n">
        <v>0.4227671014022827</v>
      </c>
      <c r="T15" s="19" t="n">
        <v>0.4282539094615954</v>
      </c>
      <c r="U15" s="19" t="n">
        <v>0.839579613175276</v>
      </c>
      <c r="V15" s="19" t="n">
        <v>0.6961844339088064</v>
      </c>
      <c r="W15" s="19" t="n">
        <v>1.628145861625671</v>
      </c>
      <c r="X15" s="19" t="n">
        <v>0</v>
      </c>
      <c r="Y15" s="19" t="b">
        <v>0</v>
      </c>
      <c r="Z15" s="19" t="n">
        <v>0.91803998</v>
      </c>
      <c r="AA15" s="19" t="n">
        <v>0.87142703</v>
      </c>
      <c r="AB15" s="19" t="inlineStr">
        <is>
          <t>figures/opt-sgd.png</t>
        </is>
      </c>
      <c r="AC15" s="19" t="inlineStr"/>
    </row>
    <row r="16" ht="15" customHeight="1" s="20"/>
    <row r="17" ht="15" customHeight="1" s="20"/>
    <row r="18" ht="15" customHeight="1" s="20"/>
    <row r="19" ht="15" customHeight="1" s="20"/>
    <row r="20" ht="15" customHeight="1" s="20"/>
    <row r="21" ht="15" customHeight="1" s="20"/>
    <row r="22" ht="15" customHeight="1" s="20"/>
    <row r="23" ht="15" customHeight="1" s="20"/>
    <row r="24" ht="15" customHeight="1" s="20"/>
    <row r="25" ht="15" customHeight="1" s="20"/>
    <row r="26" ht="15" customHeight="1" s="20"/>
    <row r="27" ht="15" customHeight="1" s="20"/>
    <row r="28" ht="15" customHeight="1" s="20"/>
    <row r="29" ht="15" customHeight="1" s="20"/>
    <row r="30" ht="15" customHeight="1" s="20"/>
    <row r="31" ht="15" customHeight="1" s="20"/>
    <row r="32" ht="15" customHeight="1" s="20"/>
    <row r="33" ht="15" customHeight="1" s="20"/>
    <row r="34" ht="15" customHeight="1" s="20"/>
    <row r="35" ht="15" customHeight="1" s="20"/>
    <row r="36" ht="15" customHeight="1" s="20"/>
    <row r="37" ht="15" customHeight="1" s="20"/>
    <row r="38" ht="15" customHeight="1" s="20"/>
    <row r="39" ht="15" customHeight="1" s="20"/>
    <row r="40" ht="15" customHeight="1" s="20"/>
    <row r="41" ht="15" customHeight="1" s="20"/>
    <row r="42" ht="15" customHeight="1" s="20"/>
    <row r="43" ht="15" customHeight="1" s="20"/>
    <row r="44" ht="15" customHeight="1" s="20"/>
    <row r="45" ht="15" customHeight="1" s="20"/>
    <row r="46" ht="15" customHeight="1" s="20"/>
    <row r="47" ht="15" customHeight="1" s="20"/>
    <row r="48" ht="15" customHeight="1" s="20"/>
    <row r="49" ht="15" customHeight="1" s="20"/>
    <row r="50" ht="15" customHeight="1" s="20"/>
    <row r="51" ht="15" customHeight="1" s="20"/>
    <row r="52" ht="15" customHeight="1" s="20"/>
    <row r="53" ht="15" customHeight="1" s="20"/>
    <row r="54" ht="15" customHeight="1" s="20"/>
    <row r="55" ht="15" customHeight="1" s="20"/>
    <row r="56" ht="15" customHeight="1" s="20"/>
    <row r="57" ht="15" customHeight="1" s="20"/>
    <row r="58" ht="15" customHeight="1" s="20"/>
    <row r="59" ht="15" customHeight="1" s="20"/>
    <row r="60" ht="15" customHeight="1" s="20"/>
    <row r="61" ht="15" customHeight="1" s="20"/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3">
        <f>IF($A2="","",IFERROR(IF(INDEX(Experiments!$U$2:$U$61,MATCH($A2,Experiments!$A$2:$A$61,0))="","",INDEX(Experiments!$U$2:$U$61,MATCH($A2,Experiments!$A$2:$A$61,0))),""))</f>
        <v/>
      </c>
      <c r="C2" s="33">
        <f>IF($A2="","",IFERROR(IF(INDEX(Experiments!$V$2:$V$61,MATCH($A2,Experiments!$A$2:$A$61,0))="","",INDEX(Experiments!$V$2:$V$61,MATCH($A2,Experiments!$A$2:$A$61,0))),""))</f>
        <v/>
      </c>
      <c r="D2" s="33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3">
        <f>IF($A3="","",IFERROR(IF(INDEX(Experiments!$U$2:$U$61,MATCH($A3,Experiments!$A$2:$A$61,0))="","",INDEX(Experiments!$U$2:$U$61,MATCH($A3,Experiments!$A$2:$A$61,0))),""))</f>
        <v/>
      </c>
      <c r="C3" s="33">
        <f>IF($A3="","",IFERROR(IF(INDEX(Experiments!$V$2:$V$61,MATCH($A3,Experiments!$A$2:$A$61,0))="","",INDEX(Experiments!$V$2:$V$61,MATCH($A3,Experiments!$A$2:$A$61,0))),""))</f>
        <v/>
      </c>
      <c r="D3" s="33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3">
        <f>IF($A4="","",IFERROR(IF(INDEX(Experiments!$U$2:$U$61,MATCH($A4,Experiments!$A$2:$A$61,0))="","",INDEX(Experiments!$U$2:$U$61,MATCH($A4,Experiments!$A$2:$A$61,0))),""))</f>
        <v/>
      </c>
      <c r="C4" s="33">
        <f>IF($A4="","",IFERROR(IF(INDEX(Experiments!$V$2:$V$61,MATCH($A4,Experiments!$A$2:$A$61,0))="","",INDEX(Experiments!$V$2:$V$61,MATCH($A4,Experiments!$A$2:$A$61,0))),""))</f>
        <v/>
      </c>
      <c r="D4" s="33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4" t="n"/>
      <c r="B5" s="33">
        <f>IF($A5="","",IFERROR(IF(INDEX(Experiments!$U$2:$U$61,MATCH($A5,Experiments!$A$2:$A$61,0))="","",INDEX(Experiments!$U$2:$U$61,MATCH($A5,Experiments!$A$2:$A$61,0))),""))</f>
        <v/>
      </c>
      <c r="C5" s="33">
        <f>IF($A5="","",IFERROR(IF(INDEX(Experiments!$V$2:$V$61,MATCH($A5,Experiments!$A$2:$A$61,0))="","",INDEX(Experiments!$V$2:$V$61,MATCH($A5,Experiments!$A$2:$A$61,0))),""))</f>
        <v/>
      </c>
      <c r="D5" s="33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4" t="n"/>
      <c r="B6" s="33">
        <f>IF($A6="","",IFERROR(IF(INDEX(Experiments!$U$2:$U$61,MATCH($A6,Experiments!$A$2:$A$61,0))="","",INDEX(Experiments!$U$2:$U$61,MATCH($A6,Experiments!$A$2:$A$61,0))),""))</f>
        <v/>
      </c>
      <c r="C6" s="33">
        <f>IF($A6="","",IFERROR(IF(INDEX(Experiments!$V$2:$V$61,MATCH($A6,Experiments!$A$2:$A$61,0))="","",INDEX(Experiments!$V$2:$V$61,MATCH($A6,Experiments!$A$2:$A$61,0))),""))</f>
        <v/>
      </c>
      <c r="D6" s="33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5" t="inlineStr">
        <is>
          <t>mean</t>
        </is>
      </c>
      <c r="B8" s="33">
        <f>IF(COUNT(B2:B6)=0,"",AVERAGE(B2:B6))</f>
        <v/>
      </c>
      <c r="C8" s="33">
        <f>IF(COUNT(C2:C6)=0,"",AVERAGE(C2:C6))</f>
        <v/>
      </c>
      <c r="D8" s="33">
        <f>IF(COUNT(D2:D6)=0,"",AVERAGE(D2:D6))</f>
        <v/>
      </c>
    </row>
    <row r="9" ht="15" customHeight="1" s="20">
      <c r="A9" s="35" t="inlineStr">
        <is>
          <t>std (mẫu)</t>
        </is>
      </c>
      <c r="B9" s="33">
        <f>IF(COUNT(B2:B6)&lt;2,"",STDEV(B2:B6))</f>
        <v/>
      </c>
      <c r="C9" s="33">
        <f>IF(COUNT(C2:C6)&lt;2,"",STDEV(C2:C6))</f>
        <v/>
      </c>
      <c r="D9" s="33">
        <f>IF(COUNT(D2:D6)&lt;2,"",STDEV(D2:D6))</f>
        <v/>
      </c>
    </row>
    <row r="10" ht="15" customHeight="1" s="20">
      <c r="A10" s="35" t="inlineStr">
        <is>
          <t>2σ (ngưỡng nhiễu)</t>
        </is>
      </c>
      <c r="B10" s="33">
        <f>IF(B9="","",2*B9)</f>
        <v/>
      </c>
      <c r="C10" s="33">
        <f>IF(C9="","",2*C9)</f>
        <v/>
      </c>
      <c r="D10" s="33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6">
        <f>COUNTIF(Experiments!$B$2:$B$61,A2)</f>
        <v/>
      </c>
      <c r="C2" s="36" t="inlineStr">
        <is>
          <t>Cross-Entropy cho tốc độ hội tụ và F1 vượt trội MSE.</t>
        </is>
      </c>
      <c r="D2" s="33">
        <f>IF(C2=0,"",_xlfn.MAXIFS(Experiments!$V$2:$V$61,Experiments!$B$2:$B$61,A2))</f>
        <v/>
      </c>
      <c r="E2" s="33">
        <f>IF(C2=0,"",_xlfn.MINIFS(Experiments!$V$2:$V$61,Experiments!$B$2:$B$61,A2))</f>
        <v/>
      </c>
      <c r="F2" s="33">
        <f>IF(C2=0,"",_xlfn.MAXIFS(Experiments!$U$2:$U$61,Experiments!$B$2:$B$61,A2))</f>
        <v/>
      </c>
      <c r="G2" s="36" t="inlineStr">
        <is>
          <t>—</t>
        </is>
      </c>
      <c r="H2" s="37" t="n"/>
    </row>
    <row r="3" ht="15" customHeight="1" s="20">
      <c r="A3" s="31" t="inlineStr">
        <is>
          <t>loss</t>
        </is>
      </c>
      <c r="B3" s="36">
        <f>COUNTIF(Experiments!$B$2:$B$61,A3)</f>
        <v/>
      </c>
      <c r="C3" s="36" t="inlineStr">
        <is>
          <t>AdamW đạt kết quả tốt nhất nhờ adaptive learning rate.</t>
        </is>
      </c>
      <c r="D3" s="33">
        <f>IF(C3=0,"",_xlfn.MAXIFS(Experiments!$V$2:$V$61,Experiments!$B$2:$B$61,A3))</f>
        <v/>
      </c>
      <c r="E3" s="33">
        <f>IF(C3=0,"",_xlfn.MINIFS(Experiments!$V$2:$V$61,Experiments!$B$2:$B$61,A3))</f>
        <v/>
      </c>
      <c r="F3" s="33">
        <f>IF(C3=0,"",_xlfn.MAXIFS(Experiments!$U$2:$U$61,Experiments!$B$2:$B$61,A3))</f>
        <v/>
      </c>
      <c r="G3" s="36">
        <f>IF(C3&gt;0,"Có","Chưa")</f>
        <v/>
      </c>
      <c r="H3" s="37" t="n"/>
    </row>
    <row r="4" ht="15" customHeight="1" s="20">
      <c r="A4" s="31" t="inlineStr">
        <is>
          <t>optimizer</t>
        </is>
      </c>
      <c r="B4" s="36">
        <f>COUNTIF(Experiments!$B$2:$B$61,A4)</f>
        <v/>
      </c>
      <c r="C4" s="36" t="inlineStr">
        <is>
          <t>Batch 128 giúp cập nhật nhiều bước hơn và đạt kết quả tốt.</t>
        </is>
      </c>
      <c r="D4" s="33">
        <f>IF(C4=0,"",_xlfn.MAXIFS(Experiments!$V$2:$V$61,Experiments!$B$2:$B$61,A4))</f>
        <v/>
      </c>
      <c r="E4" s="33">
        <f>IF(C4=0,"",_xlfn.MINIFS(Experiments!$V$2:$V$61,Experiments!$B$2:$B$61,A4))</f>
        <v/>
      </c>
      <c r="F4" s="33">
        <f>IF(C4=0,"",_xlfn.MAXIFS(Experiments!$U$2:$U$61,Experiments!$B$2:$B$61,A4))</f>
        <v/>
      </c>
      <c r="G4" s="36">
        <f>IF(C4&gt;0,"Có","Chưa")</f>
        <v/>
      </c>
      <c r="H4" s="37" t="n"/>
    </row>
    <row r="5" ht="15" customHeight="1" s="20">
      <c r="A5" s="31" t="inlineStr">
        <is>
          <t>hparam</t>
        </is>
      </c>
      <c r="B5" s="36">
        <f>COUNTIF(Experiments!$B$2:$B$61,A5)</f>
        <v/>
      </c>
      <c r="C5" s="36" t="inlineStr">
        <is>
          <t>Dropout làm giảm hiệu năng do mô hình chưa bị overfit.</t>
        </is>
      </c>
      <c r="D5" s="33">
        <f>IF(C5=0,"",_xlfn.MAXIFS(Experiments!$V$2:$V$61,Experiments!$B$2:$B$61,A5))</f>
        <v/>
      </c>
      <c r="E5" s="33">
        <f>IF(C5=0,"",_xlfn.MINIFS(Experiments!$V$2:$V$61,Experiments!$B$2:$B$61,A5))</f>
        <v/>
      </c>
      <c r="F5" s="33">
        <f>IF(C5=0,"",_xlfn.MAXIFS(Experiments!$U$2:$U$61,Experiments!$B$2:$B$61,A5))</f>
        <v/>
      </c>
      <c r="G5" s="36">
        <f>IF(C5&gt;0,"Có","Chưa")</f>
        <v/>
      </c>
      <c r="H5" s="37" t="n"/>
    </row>
    <row r="6" ht="15" customHeight="1" s="20">
      <c r="A6" s="31" t="inlineStr">
        <is>
          <t>dropout</t>
        </is>
      </c>
      <c r="B6" s="36">
        <f>COUNTIF(Experiments!$B$2:$B$61,A6)</f>
        <v/>
      </c>
      <c r="C6" s="36" t="inlineStr">
        <is>
          <t>Clipping giúp ổn định gradient khi lr cao.</t>
        </is>
      </c>
      <c r="D6" s="33">
        <f>IF(C6=0,"",_xlfn.MAXIFS(Experiments!$V$2:$V$61,Experiments!$B$2:$B$61,A6))</f>
        <v/>
      </c>
      <c r="E6" s="33">
        <f>IF(C6=0,"",_xlfn.MINIFS(Experiments!$V$2:$V$61,Experiments!$B$2:$B$61,A6))</f>
        <v/>
      </c>
      <c r="F6" s="33">
        <f>IF(C6=0,"",_xlfn.MAXIFS(Experiments!$U$2:$U$61,Experiments!$B$2:$B$61,A6))</f>
        <v/>
      </c>
      <c r="G6" s="36">
        <f>IF(C6&gt;0,"Có","Chưa")</f>
        <v/>
      </c>
      <c r="H6" s="37" t="n"/>
    </row>
    <row r="7" ht="15" customHeight="1" s="20">
      <c r="A7" s="31" t="inlineStr">
        <is>
          <t>clipping</t>
        </is>
      </c>
      <c r="B7" s="36">
        <f>COUNTIF(Experiments!$B$2:$B$61,A7)</f>
        <v/>
      </c>
      <c r="C7" s="36">
        <f>COUNTIFS(Experiments!$B$2:$B$61,A7,Experiments!$V$2:$V$61,"&lt;&gt;")</f>
        <v/>
      </c>
      <c r="D7" s="33">
        <f>IF(C7=0,"",_xlfn.MAXIFS(Experiments!$V$2:$V$61,Experiments!$B$2:$B$61,A7))</f>
        <v/>
      </c>
      <c r="E7" s="33">
        <f>IF(C7=0,"",_xlfn.MINIFS(Experiments!$V$2:$V$61,Experiments!$B$2:$B$61,A7))</f>
        <v/>
      </c>
      <c r="F7" s="33">
        <f>IF(C7=0,"",_xlfn.MAXIFS(Experiments!$U$2:$U$61,Experiments!$B$2:$B$61,A7))</f>
        <v/>
      </c>
      <c r="G7" s="36">
        <f>IF(C7&gt;0,"Có","Chưa")</f>
        <v/>
      </c>
      <c r="H7" s="37" t="n"/>
    </row>
    <row r="8" ht="15" customHeight="1" s="20">
      <c r="A8" s="31" t="inlineStr">
        <is>
          <t>amp</t>
        </is>
      </c>
      <c r="B8" s="36">
        <f>COUNTIF(Experiments!$B$2:$B$61,A8)</f>
        <v/>
      </c>
      <c r="C8" s="36" t="inlineStr">
        <is>
          <t>Khởi tạo He đạt kết quả tốt nhất, khởi tạo Zeros thất bại hoàn toàn.</t>
        </is>
      </c>
      <c r="D8" s="33">
        <f>IF(C8=0,"",_xlfn.MAXIFS(Experiments!$V$2:$V$61,Experiments!$B$2:$B$61,A8))</f>
        <v/>
      </c>
      <c r="E8" s="33">
        <f>IF(C8=0,"",_xlfn.MINIFS(Experiments!$V$2:$V$61,Experiments!$B$2:$B$61,A8))</f>
        <v/>
      </c>
      <c r="F8" s="33">
        <f>IF(C8=0,"",_xlfn.MAXIFS(Experiments!$U$2:$U$61,Experiments!$B$2:$B$61,A8))</f>
        <v/>
      </c>
      <c r="G8" s="36">
        <f>IF(C8&gt;0,"Có","Chưa")</f>
        <v/>
      </c>
      <c r="H8" s="37" t="n"/>
    </row>
    <row r="9" ht="15" customHeight="1" s="20">
      <c r="A9" s="31" t="inlineStr">
        <is>
          <t>init</t>
        </is>
      </c>
      <c r="B9" s="36">
        <f>COUNTIF(Experiments!$B$2:$B$61,A9)</f>
        <v/>
      </c>
      <c r="C9" s="36">
        <f>COUNTIFS(Experiments!$B$2:$B$61,A9,Experiments!$V$2:$V$61,"&lt;&gt;")</f>
        <v/>
      </c>
      <c r="D9" s="33">
        <f>IF(C9=0,"",_xlfn.MAXIFS(Experiments!$V$2:$V$61,Experiments!$B$2:$B$61,A9))</f>
        <v/>
      </c>
      <c r="E9" s="33">
        <f>IF(C9=0,"",_xlfn.MINIFS(Experiments!$V$2:$V$61,Experiments!$B$2:$B$61,A9))</f>
        <v/>
      </c>
      <c r="F9" s="33">
        <f>IF(C9=0,"",_xlfn.MAXIFS(Experiments!$U$2:$U$61,Experiments!$B$2:$B$61,A9))</f>
        <v/>
      </c>
      <c r="G9" s="36">
        <f>IF(C9&gt;0,"Có","Chưa")</f>
        <v/>
      </c>
      <c r="H9" s="37" t="n"/>
    </row>
    <row r="10" ht="15" customHeight="1" s="20">
      <c r="A10" s="31" t="inlineStr">
        <is>
          <t>final</t>
        </is>
      </c>
      <c r="B10" s="36">
        <f>COUNTIF(Experiments!$B$2:$B$61,A10)</f>
        <v/>
      </c>
      <c r="C10" s="36">
        <f>COUNTIFS(Experiments!$B$2:$B$61,A10,Experiments!$V$2:$V$61,"&lt;&gt;")</f>
        <v/>
      </c>
      <c r="D10" s="33">
        <f>IF(C10=0,"",_xlfn.MAXIFS(Experiments!$V$2:$V$61,Experiments!$B$2:$B$61,A10))</f>
        <v/>
      </c>
      <c r="E10" s="33">
        <f>IF(C10=0,"",_xlfn.MINIFS(Experiments!$V$2:$V$61,Experiments!$B$2:$B$61,A10))</f>
        <v/>
      </c>
      <c r="F10" s="33">
        <f>IF(C10=0,"",_xlfn.MAXIFS(Experiments!$U$2:$U$61,Experiments!$B$2:$B$61,A10))</f>
        <v/>
      </c>
      <c r="G10" s="36" t="inlineStr">
        <is>
          <t>—</t>
        </is>
      </c>
      <c r="H10" s="37" t="n"/>
    </row>
    <row r="11" ht="15" customHeight="1" s="20">
      <c r="A11" s="31" t="inlineStr">
        <is>
          <t>other</t>
        </is>
      </c>
      <c r="B11" s="36">
        <f>COUNTIF(Experiments!$B$2:$B$61,A11)</f>
        <v/>
      </c>
      <c r="C11" s="36">
        <f>COUNTIFS(Experiments!$B$2:$B$61,A11,Experiments!$V$2:$V$61,"&lt;&gt;")</f>
        <v/>
      </c>
      <c r="D11" s="33">
        <f>IF(C11=0,"",_xlfn.MAXIFS(Experiments!$V$2:$V$61,Experiments!$B$2:$B$61,A11))</f>
        <v/>
      </c>
      <c r="E11" s="33">
        <f>IF(C11=0,"",_xlfn.MINIFS(Experiments!$V$2:$V$61,Experiments!$B$2:$B$61,A11))</f>
        <v/>
      </c>
      <c r="F11" s="33">
        <f>IF(C11=0,"",_xlfn.MAXIFS(Experiments!$U$2:$U$61,Experiments!$B$2:$B$61,A11))</f>
        <v/>
      </c>
      <c r="G11" s="36" t="inlineStr">
        <is>
          <t>—</t>
        </is>
      </c>
      <c r="H11" s="37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2026-10-03T05:49:20Z</dcterms:modified>
  <cp:revision>0</cp:revision>
</cp:coreProperties>
</file>